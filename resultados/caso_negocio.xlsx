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Beneficios" sheetId="3" state="visible" r:id="rId3"/>
    <sheet name="Flujos_Conservador" sheetId="4" state="visible" r:id="rId4"/>
    <sheet name="Flujos_Base" sheetId="5" state="visible" r:id="rId5"/>
    <sheet name="Flujos_Optimis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1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4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" fontId="1" fillId="3" borderId="0" pivotButton="0" quotePrefix="0" xfId="0"/>
    <xf numFmtId="1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VAN por escenario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'Resumen'!$B$3:$D$3</f>
            </numRef>
          </cat>
          <val>
            <numRef>
              <f>'Resumen'!$B$6:$D$6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Caso de negocio: resumen ejecutivo</t>
        </is>
      </c>
      <c r="B1" s="2" t="n"/>
      <c r="C1" s="2" t="n"/>
      <c r="D1" s="2" t="n"/>
    </row>
    <row r="2"/>
    <row r="3">
      <c r="A3" s="3" t="inlineStr">
        <is>
          <t>Indicador</t>
        </is>
      </c>
      <c r="B3" s="3" t="inlineStr">
        <is>
          <t>Conservador</t>
        </is>
      </c>
      <c r="C3" s="3" t="inlineStr">
        <is>
          <t>Base</t>
        </is>
      </c>
      <c r="D3" s="3" t="inlineStr">
        <is>
          <t>Optimista</t>
        </is>
      </c>
    </row>
    <row r="4">
      <c r="A4" s="4" t="inlineStr">
        <is>
          <t>Multiplicador de beneficios</t>
        </is>
      </c>
      <c r="B4" s="4">
        <f>Supuestos!$B$26</f>
        <v/>
      </c>
      <c r="C4" s="4">
        <f>Supuestos!$B$27</f>
        <v/>
      </c>
      <c r="D4" s="4">
        <f>Supuestos!$B$28</f>
        <v/>
      </c>
    </row>
    <row r="5">
      <c r="A5" s="4" t="inlineStr">
        <is>
          <t>Beneficio anual (anio 2)</t>
        </is>
      </c>
      <c r="B5" s="5">
        <f>Supuestos!$B$10*B4</f>
        <v/>
      </c>
      <c r="C5" s="5">
        <f>Supuestos!$B$10*C4</f>
        <v/>
      </c>
      <c r="D5" s="5">
        <f>Supuestos!$B$10*D4</f>
        <v/>
      </c>
    </row>
    <row r="6">
      <c r="A6" s="4" t="inlineStr">
        <is>
          <t>VAN</t>
        </is>
      </c>
      <c r="B6" s="6">
        <f>Flujos_Conservador!B14</f>
        <v/>
      </c>
      <c r="C6" s="5">
        <f>Flujos_Base!B14</f>
        <v/>
      </c>
      <c r="D6" s="5">
        <f>Flujos_Optimista!B14</f>
        <v/>
      </c>
    </row>
    <row r="7">
      <c r="A7" s="4" t="inlineStr">
        <is>
          <t>TIR</t>
        </is>
      </c>
      <c r="B7" s="7">
        <f>Flujos_Conservador!B15</f>
        <v/>
      </c>
      <c r="C7" s="7">
        <f>Flujos_Base!B15</f>
        <v/>
      </c>
      <c r="D7" s="7">
        <f>Flujos_Optimista!B15</f>
        <v/>
      </c>
    </row>
    <row r="8">
      <c r="A8" s="4" t="inlineStr">
        <is>
          <t>Payback (anios)</t>
        </is>
      </c>
      <c r="B8" s="8">
        <f>Flujos_Conservador!B16</f>
        <v/>
      </c>
      <c r="C8" s="8">
        <f>Flujos_Base!B16</f>
        <v/>
      </c>
      <c r="D8" s="8">
        <f>Flujos_Optimista!B16</f>
        <v/>
      </c>
    </row>
    <row r="9"/>
    <row r="10">
      <c r="A10" s="4" t="inlineStr">
        <is>
          <t>Beneficio anual base en la cadena</t>
        </is>
      </c>
      <c r="B10" s="5">
        <f>Supuestos!$B$10</f>
        <v/>
      </c>
    </row>
    <row r="11">
      <c r="A11" s="4" t="inlineStr">
        <is>
          <t>Inversion inicial + capital de trabajo</t>
        </is>
      </c>
      <c r="B11" s="5">
        <f>Supuestos!$B$13+Supuestos!$B$12</f>
        <v/>
      </c>
    </row>
    <row r="12">
      <c r="A12" s="4" t="inlineStr">
        <is>
          <t>Factor de validacion del piloto</t>
        </is>
      </c>
      <c r="B12" s="8">
        <f>Supuestos!$B$9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Caso de negocio: supuestos</t>
        </is>
      </c>
      <c r="B1" s="2" t="n"/>
    </row>
    <row r="2"/>
    <row r="3">
      <c r="A3" s="3" t="inlineStr">
        <is>
          <t>Pares en la simulacion</t>
        </is>
      </c>
      <c r="B3" s="9" t="n">
        <v>240</v>
      </c>
    </row>
    <row r="4">
      <c r="A4" s="4" t="inlineStr">
        <is>
          <t>Pares en la cadena</t>
        </is>
      </c>
      <c r="B4" s="10" t="n">
        <v>3920</v>
      </c>
    </row>
    <row r="5">
      <c r="A5" s="4" t="inlineStr">
        <is>
          <t>Factor de escala</t>
        </is>
      </c>
      <c r="B5" s="8">
        <f>B4/B3</f>
        <v/>
      </c>
    </row>
    <row r="6">
      <c r="A6" s="4" t="inlineStr">
        <is>
          <t>Ahorro anual simulado (240 pares)</t>
        </is>
      </c>
      <c r="B6" s="11" t="n">
        <v>182435.3758513053</v>
      </c>
    </row>
    <row r="7">
      <c r="A7" s="4" t="inlineStr">
        <is>
          <t>Efecto fill simulado (pp)</t>
        </is>
      </c>
      <c r="B7" s="12" t="n">
        <v>1.299653704218329</v>
      </c>
    </row>
    <row r="8">
      <c r="A8" s="4" t="inlineStr">
        <is>
          <t>Efecto fill piloto (pp)</t>
        </is>
      </c>
      <c r="B8" s="12" t="n">
        <v>1.824097437638433</v>
      </c>
    </row>
    <row r="9">
      <c r="A9" s="4" t="inlineStr">
        <is>
          <t>Factor de validacion del piloto</t>
        </is>
      </c>
      <c r="B9" s="8">
        <f>MIN(1,B8/B7)</f>
        <v/>
      </c>
    </row>
    <row r="10">
      <c r="A10" s="4" t="inlineStr">
        <is>
          <t>Ahorro anual base en la cadena</t>
        </is>
      </c>
      <c r="B10" s="5">
        <f>B5*B6*B9</f>
        <v/>
      </c>
    </row>
    <row r="11">
      <c r="A11" s="4" t="inlineStr">
        <is>
          <t>Capital de trabajo adicional (muestra)</t>
        </is>
      </c>
      <c r="B11" s="11" t="n">
        <v>-157.3423205131839</v>
      </c>
    </row>
    <row r="12">
      <c r="A12" s="4" t="inlineStr">
        <is>
          <t>Capital de trabajo adicional (cadena)</t>
        </is>
      </c>
      <c r="B12" s="5">
        <f>B11*B5</f>
        <v/>
      </c>
    </row>
    <row r="13">
      <c r="A13" s="4" t="inlineStr">
        <is>
          <t>Inversion inicial</t>
        </is>
      </c>
      <c r="B13" s="5">
        <f>B14+B15</f>
        <v/>
      </c>
    </row>
    <row r="14">
      <c r="A14" s="4" t="inlineStr">
        <is>
          <t>Implementacion</t>
        </is>
      </c>
      <c r="B14" s="11" t="n">
        <v>380000</v>
      </c>
    </row>
    <row r="15">
      <c r="A15" s="4" t="inlineStr">
        <is>
          <t>Cambio de procesos</t>
        </is>
      </c>
      <c r="B15" s="11" t="n">
        <v>120000</v>
      </c>
    </row>
    <row r="16">
      <c r="A16" s="4" t="inlineStr">
        <is>
          <t>Costo de operacion anual</t>
        </is>
      </c>
      <c r="B16" s="11" t="n">
        <v>96000</v>
      </c>
    </row>
    <row r="17">
      <c r="A17" s="4" t="inlineStr">
        <is>
          <t>Tasa de impuesto</t>
        </is>
      </c>
      <c r="B17" s="13" t="n">
        <v>0.27</v>
      </c>
    </row>
    <row r="18">
      <c r="A18" s="4" t="inlineStr">
        <is>
          <t>Tasa de descuento</t>
        </is>
      </c>
      <c r="B18" s="13" t="n">
        <v>0.12</v>
      </c>
    </row>
    <row r="19">
      <c r="A19" s="4" t="inlineStr">
        <is>
          <t>Anios</t>
        </is>
      </c>
      <c r="B19" s="10" t="n">
        <v>3</v>
      </c>
    </row>
    <row r="20">
      <c r="A20" s="4" t="inlineStr">
        <is>
          <t>Depreciacion anual</t>
        </is>
      </c>
      <c r="B20" s="5">
        <f>B13/B19</f>
        <v/>
      </c>
    </row>
    <row r="21">
      <c r="A21" s="4" t="inlineStr">
        <is>
          <t>Ramp-up anio 1</t>
        </is>
      </c>
      <c r="B21" s="13" t="n">
        <v>0.8</v>
      </c>
    </row>
    <row r="22">
      <c r="A22" s="4" t="inlineStr">
        <is>
          <t>Ramp-up anio 2</t>
        </is>
      </c>
      <c r="B22" s="13" t="n">
        <v>1</v>
      </c>
    </row>
    <row r="23">
      <c r="A23" s="4" t="inlineStr">
        <is>
          <t>Ramp-up anio 3</t>
        </is>
      </c>
      <c r="B23" s="13" t="n">
        <v>1</v>
      </c>
    </row>
    <row r="24"/>
    <row r="25">
      <c r="A25" s="4" t="inlineStr">
        <is>
          <t>Escenarios</t>
        </is>
      </c>
    </row>
    <row r="26">
      <c r="A26" s="4" t="inlineStr">
        <is>
          <t>Conservador</t>
        </is>
      </c>
      <c r="B26" t="n">
        <v>0.6</v>
      </c>
    </row>
    <row r="27">
      <c r="A27" s="4" t="inlineStr">
        <is>
          <t>Base</t>
        </is>
      </c>
      <c r="B27" t="n">
        <v>1</v>
      </c>
    </row>
    <row r="28">
      <c r="A28" s="4" t="inlineStr">
        <is>
          <t>Optimista</t>
        </is>
      </c>
      <c r="B28" t="n">
        <v>1.4</v>
      </c>
    </row>
    <row r="29"/>
    <row r="30">
      <c r="A30" s="4" t="inlineStr">
        <is>
          <t>Beneficios por componente (UM anuales en la cadena)</t>
        </is>
      </c>
    </row>
    <row r="31">
      <c r="A31" s="4" t="inlineStr">
        <is>
          <t>Costo de orden</t>
        </is>
      </c>
      <c r="B31" s="11" t="n">
        <v>1703566.67</v>
      </c>
    </row>
    <row r="32">
      <c r="A32" s="4" t="inlineStr">
        <is>
          <t>Costo de quiebre</t>
        </is>
      </c>
      <c r="B32" s="11" t="n">
        <v>276037.01</v>
      </c>
    </row>
    <row r="33">
      <c r="A33" s="4" t="inlineStr">
        <is>
          <t>Costo de merma</t>
        </is>
      </c>
      <c r="B33" s="11" t="n">
        <v>999685.84</v>
      </c>
    </row>
    <row r="34">
      <c r="A34" s="4" t="inlineStr">
        <is>
          <t>Costo de almacenamiento</t>
        </is>
      </c>
      <c r="B34" s="11" t="n">
        <v>488.29</v>
      </c>
    </row>
    <row r="35">
      <c r="A35" s="4" t="inlineStr">
        <is>
          <t>Total</t>
        </is>
      </c>
      <c r="B35" s="5">
        <f>SUM(B31:B34)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Beneficios anuales por componente</t>
        </is>
      </c>
      <c r="B1" s="2" t="n"/>
      <c r="C1" s="2" t="n"/>
      <c r="D1" s="2" t="n"/>
      <c r="E1" s="2" t="n"/>
    </row>
    <row r="2"/>
    <row r="3">
      <c r="A3" s="3" t="inlineStr">
        <is>
          <t>Componente</t>
        </is>
      </c>
      <c r="B3" s="3" t="inlineStr">
        <is>
          <t>Muestra</t>
        </is>
      </c>
      <c r="C3" s="3" t="inlineStr">
        <is>
          <t>Factor escala</t>
        </is>
      </c>
      <c r="D3" s="3" t="inlineStr">
        <is>
          <t>Validacion piloto</t>
        </is>
      </c>
      <c r="E3" s="3" t="inlineStr">
        <is>
          <t>Cadena</t>
        </is>
      </c>
    </row>
    <row r="4">
      <c r="A4" s="4" t="inlineStr">
        <is>
          <t>Costo de orden</t>
        </is>
      </c>
      <c r="B4" t="n">
        <v>104300</v>
      </c>
      <c r="C4" s="4">
        <f>Supuestos!$B$5</f>
        <v/>
      </c>
      <c r="D4" s="4">
        <f>Supuestos!$B$9</f>
        <v/>
      </c>
      <c r="E4" s="4">
        <f>B4*C4*D4</f>
        <v/>
      </c>
    </row>
    <row r="5">
      <c r="A5" s="4" t="inlineStr">
        <is>
          <t>Costo de quiebre</t>
        </is>
      </c>
      <c r="B5" t="n">
        <v>16900.23</v>
      </c>
      <c r="C5" s="4">
        <f>Supuestos!$B$5</f>
        <v/>
      </c>
      <c r="D5" s="4">
        <f>Supuestos!$B$9</f>
        <v/>
      </c>
      <c r="E5" s="4">
        <f>B5*C5*D5</f>
        <v/>
      </c>
    </row>
    <row r="6">
      <c r="A6" s="4" t="inlineStr">
        <is>
          <t>Costo de merma</t>
        </is>
      </c>
      <c r="B6" t="n">
        <v>61205.26</v>
      </c>
      <c r="C6" s="4">
        <f>Supuestos!$B$5</f>
        <v/>
      </c>
      <c r="D6" s="4">
        <f>Supuestos!$B$9</f>
        <v/>
      </c>
      <c r="E6" s="4">
        <f>B6*C6*D6</f>
        <v/>
      </c>
    </row>
    <row r="7">
      <c r="A7" s="4" t="inlineStr">
        <is>
          <t>Costo de almacenamiento</t>
        </is>
      </c>
      <c r="B7" t="n">
        <v>29.9</v>
      </c>
      <c r="C7" s="4">
        <f>Supuestos!$B$5</f>
        <v/>
      </c>
      <c r="D7" s="4">
        <f>Supuestos!$B$9</f>
        <v/>
      </c>
      <c r="E7" s="4">
        <f>B7*C7*D7</f>
        <v/>
      </c>
    </row>
    <row r="8">
      <c r="A8" s="4" t="inlineStr">
        <is>
          <t>Total</t>
        </is>
      </c>
      <c r="E8" s="4">
        <f>SUM(E4:E7)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conservador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Supuestos!$B$26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base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Supuestos!$B$27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optimista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Supuestos!$B$28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2026-10-19T00:19:40Z</dcterms:created>
  <dcterms:modified xsi:type="dcterms:W3CDTF">2026-10-19T00:19:40Z</dcterms:modified>
</cp:coreProperties>
</file>