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upuestos" sheetId="2" state="visible" r:id="rId2"/>
    <sheet name="Beneficios" sheetId="3" state="visible" r:id="rId3"/>
    <sheet name="Flujos_Conservador" sheetId="4" state="visible" r:id="rId4"/>
    <sheet name="Flujos_Base" sheetId="5" state="visible" r:id="rId5"/>
    <sheet name="Flujos_Optimi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3" fontId="0" fillId="4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" fontId="1" fillId="3" borderId="0" pivotButton="0" quotePrefix="0" xfId="0"/>
    <xf numFmtId="1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VAN por escenario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'Resumen'!$B$3:$D$3</f>
            </numRef>
          </cat>
          <val>
            <numRef>
              <f>'Resumen'!$B$6:$D$6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Caso de negocio: resumen ejecutivo</t>
        </is>
      </c>
      <c r="B1" s="2" t="n"/>
      <c r="C1" s="2" t="n"/>
      <c r="D1" s="2" t="n"/>
    </row>
    <row r="2"/>
    <row r="3">
      <c r="A3" s="3" t="inlineStr">
        <is>
          <t>Indicador</t>
        </is>
      </c>
      <c r="B3" s="3" t="inlineStr">
        <is>
          <t>Conservador</t>
        </is>
      </c>
      <c r="C3" s="3" t="inlineStr">
        <is>
          <t>Base</t>
        </is>
      </c>
      <c r="D3" s="3" t="inlineStr">
        <is>
          <t>Optimista</t>
        </is>
      </c>
    </row>
    <row r="4">
      <c r="A4" s="4" t="inlineStr">
        <is>
          <t>Multiplicador de beneficios</t>
        </is>
      </c>
      <c r="B4" s="4">
        <f>Supuestos!$B$26</f>
        <v/>
      </c>
      <c r="C4" s="4">
        <f>Supuestos!$B$27</f>
        <v/>
      </c>
      <c r="D4" s="4">
        <f>Supuestos!$B$28</f>
        <v/>
      </c>
    </row>
    <row r="5">
      <c r="A5" s="4" t="inlineStr">
        <is>
          <t>Beneficio anual (anio 2)</t>
        </is>
      </c>
      <c r="B5" s="5">
        <f>Supuestos!$B$10*B4</f>
        <v/>
      </c>
      <c r="C5" s="5">
        <f>Supuestos!$B$10*C4</f>
        <v/>
      </c>
      <c r="D5" s="5">
        <f>Supuestos!$B$10*D4</f>
        <v/>
      </c>
    </row>
    <row r="6">
      <c r="A6" s="4" t="inlineStr">
        <is>
          <t>VAN</t>
        </is>
      </c>
      <c r="B6" s="6">
        <f>Flujos_Conservador!B14</f>
        <v/>
      </c>
      <c r="C6" s="5">
        <f>Flujos_Base!B14</f>
        <v/>
      </c>
      <c r="D6" s="5">
        <f>Flujos_Optimista!B14</f>
        <v/>
      </c>
    </row>
    <row r="7">
      <c r="A7" s="4" t="inlineStr">
        <is>
          <t>TIR</t>
        </is>
      </c>
      <c r="B7" s="7">
        <f>Flujos_Conservador!B15</f>
        <v/>
      </c>
      <c r="C7" s="7">
        <f>Flujos_Base!B15</f>
        <v/>
      </c>
      <c r="D7" s="7">
        <f>Flujos_Optimista!B15</f>
        <v/>
      </c>
    </row>
    <row r="8">
      <c r="A8" s="4" t="inlineStr">
        <is>
          <t>Payback (anios)</t>
        </is>
      </c>
      <c r="B8" s="8">
        <f>Flujos_Conservador!B16</f>
        <v/>
      </c>
      <c r="C8" s="8">
        <f>Flujos_Base!B16</f>
        <v/>
      </c>
      <c r="D8" s="8">
        <f>Flujos_Optimista!B16</f>
        <v/>
      </c>
    </row>
    <row r="9"/>
    <row r="10">
      <c r="A10" s="4" t="inlineStr">
        <is>
          <t>Beneficio anual base en la cadena</t>
        </is>
      </c>
      <c r="B10" s="5">
        <f>Supuestos!$B$10</f>
        <v/>
      </c>
    </row>
    <row r="11">
      <c r="A11" s="4" t="inlineStr">
        <is>
          <t>Inversion inicial + capital de trabajo</t>
        </is>
      </c>
      <c r="B11" s="5">
        <f>Supuestos!$B$13+Supuestos!$B$12</f>
        <v/>
      </c>
    </row>
    <row r="12">
      <c r="A12" s="4" t="inlineStr">
        <is>
          <t>Factor de validacion del piloto</t>
        </is>
      </c>
      <c r="B12" s="8">
        <f>Supuestos!$B$9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Caso de negocio: supuestos</t>
        </is>
      </c>
      <c r="B1" s="2" t="n"/>
    </row>
    <row r="2"/>
    <row r="3">
      <c r="A3" s="3" t="inlineStr">
        <is>
          <t>Pares en la simulacion</t>
        </is>
      </c>
      <c r="B3" s="9" t="n">
        <v>240</v>
      </c>
    </row>
    <row r="4">
      <c r="A4" s="4" t="inlineStr">
        <is>
          <t>Pares en la cadena</t>
        </is>
      </c>
      <c r="B4" s="10" t="n">
        <v>3920</v>
      </c>
    </row>
    <row r="5">
      <c r="A5" s="4" t="inlineStr">
        <is>
          <t>Factor de escala</t>
        </is>
      </c>
      <c r="B5" s="8">
        <f>B4/B3</f>
        <v/>
      </c>
    </row>
    <row r="6">
      <c r="A6" s="4" t="inlineStr">
        <is>
          <t>Ahorro anual simulado (240 pares)</t>
        </is>
      </c>
      <c r="B6" s="11" t="n">
        <v>209435.0483493663</v>
      </c>
    </row>
    <row r="7">
      <c r="A7" s="4" t="inlineStr">
        <is>
          <t>Efecto fill simulado (pp)</t>
        </is>
      </c>
      <c r="B7" s="12" t="n">
        <v>2.584319719232242</v>
      </c>
    </row>
    <row r="8">
      <c r="A8" s="4" t="inlineStr">
        <is>
          <t>Efecto fill piloto (pp)</t>
        </is>
      </c>
      <c r="B8" s="12" t="n">
        <v>2.238137739177289</v>
      </c>
    </row>
    <row r="9">
      <c r="A9" s="4" t="inlineStr">
        <is>
          <t>Factor de validacion del piloto</t>
        </is>
      </c>
      <c r="B9" s="8">
        <f>MIN(1,B8/B7)</f>
        <v/>
      </c>
    </row>
    <row r="10">
      <c r="A10" s="4" t="inlineStr">
        <is>
          <t>Ahorro anual base en la cadena</t>
        </is>
      </c>
      <c r="B10" s="5">
        <f>B5*B6*B9</f>
        <v/>
      </c>
    </row>
    <row r="11">
      <c r="A11" s="4" t="inlineStr">
        <is>
          <t>Capital de trabajo adicional (muestra)</t>
        </is>
      </c>
      <c r="B11" s="11" t="n">
        <v>8096.507586195687</v>
      </c>
    </row>
    <row r="12">
      <c r="A12" s="4" t="inlineStr">
        <is>
          <t>Capital de trabajo adicional (cadena)</t>
        </is>
      </c>
      <c r="B12" s="5">
        <f>B11*B5</f>
        <v/>
      </c>
    </row>
    <row r="13">
      <c r="A13" s="4" t="inlineStr">
        <is>
          <t>Inversion inicial</t>
        </is>
      </c>
      <c r="B13" s="5">
        <f>B14+B15</f>
        <v/>
      </c>
    </row>
    <row r="14">
      <c r="A14" s="4" t="inlineStr">
        <is>
          <t>Implementacion</t>
        </is>
      </c>
      <c r="B14" s="11" t="n">
        <v>380000</v>
      </c>
    </row>
    <row r="15">
      <c r="A15" s="4" t="inlineStr">
        <is>
          <t>Cambio de procesos</t>
        </is>
      </c>
      <c r="B15" s="11" t="n">
        <v>120000</v>
      </c>
    </row>
    <row r="16">
      <c r="A16" s="4" t="inlineStr">
        <is>
          <t>Costo de operacion anual</t>
        </is>
      </c>
      <c r="B16" s="11" t="n">
        <v>96000</v>
      </c>
    </row>
    <row r="17">
      <c r="A17" s="4" t="inlineStr">
        <is>
          <t>Tasa de impuesto</t>
        </is>
      </c>
      <c r="B17" s="13" t="n">
        <v>0.27</v>
      </c>
    </row>
    <row r="18">
      <c r="A18" s="4" t="inlineStr">
        <is>
          <t>Tasa de descuento</t>
        </is>
      </c>
      <c r="B18" s="13" t="n">
        <v>0.12</v>
      </c>
    </row>
    <row r="19">
      <c r="A19" s="4" t="inlineStr">
        <is>
          <t>Anios</t>
        </is>
      </c>
      <c r="B19" s="10" t="n">
        <v>3</v>
      </c>
    </row>
    <row r="20">
      <c r="A20" s="4" t="inlineStr">
        <is>
          <t>Depreciacion anual</t>
        </is>
      </c>
      <c r="B20" s="5">
        <f>B13/B19</f>
        <v/>
      </c>
    </row>
    <row r="21">
      <c r="A21" s="4" t="inlineStr">
        <is>
          <t>Ramp-up anio 1</t>
        </is>
      </c>
      <c r="B21" s="13" t="n">
        <v>0.8</v>
      </c>
    </row>
    <row r="22">
      <c r="A22" s="4" t="inlineStr">
        <is>
          <t>Ramp-up anio 2</t>
        </is>
      </c>
      <c r="B22" s="13" t="n">
        <v>1</v>
      </c>
    </row>
    <row r="23">
      <c r="A23" s="4" t="inlineStr">
        <is>
          <t>Ramp-up anio 3</t>
        </is>
      </c>
      <c r="B23" s="13" t="n">
        <v>1</v>
      </c>
    </row>
    <row r="24"/>
    <row r="25">
      <c r="A25" s="4" t="inlineStr">
        <is>
          <t>Escenarios</t>
        </is>
      </c>
    </row>
    <row r="26">
      <c r="A26" s="4" t="inlineStr">
        <is>
          <t>Conservador</t>
        </is>
      </c>
      <c r="B26" t="n">
        <v>0.6</v>
      </c>
    </row>
    <row r="27">
      <c r="A27" s="4" t="inlineStr">
        <is>
          <t>Base</t>
        </is>
      </c>
      <c r="B27" t="n">
        <v>1</v>
      </c>
    </row>
    <row r="28">
      <c r="A28" s="4" t="inlineStr">
        <is>
          <t>Optimista</t>
        </is>
      </c>
      <c r="B28" t="n">
        <v>1.4</v>
      </c>
    </row>
    <row r="29"/>
    <row r="30">
      <c r="A30" s="4" t="inlineStr">
        <is>
          <t>Beneficios por componente (UM anuales en la cadena)</t>
        </is>
      </c>
    </row>
    <row r="31">
      <c r="A31" s="4" t="inlineStr">
        <is>
          <t>Costo de orden</t>
        </is>
      </c>
      <c r="B31" s="11" t="n">
        <v>1619832.79</v>
      </c>
    </row>
    <row r="32">
      <c r="A32" s="4" t="inlineStr">
        <is>
          <t>Costo de quiebre</t>
        </is>
      </c>
      <c r="B32" s="11" t="n">
        <v>564389.13</v>
      </c>
    </row>
    <row r="33">
      <c r="A33" s="4" t="inlineStr">
        <is>
          <t>Costo de merma</t>
        </is>
      </c>
      <c r="B33" s="11" t="n">
        <v>800082.11</v>
      </c>
    </row>
    <row r="34">
      <c r="A34" s="4" t="inlineStr">
        <is>
          <t>Costo de almacenamiento</t>
        </is>
      </c>
      <c r="B34" s="11" t="n">
        <v>-21760.39</v>
      </c>
    </row>
    <row r="35">
      <c r="A35" s="4" t="inlineStr">
        <is>
          <t>Total</t>
        </is>
      </c>
      <c r="B35" s="5">
        <f>SUM(B31:B34)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Beneficios anuales por componente</t>
        </is>
      </c>
      <c r="B1" s="2" t="n"/>
      <c r="C1" s="2" t="n"/>
      <c r="D1" s="2" t="n"/>
      <c r="E1" s="2" t="n"/>
    </row>
    <row r="2"/>
    <row r="3">
      <c r="A3" s="3" t="inlineStr">
        <is>
          <t>Componente</t>
        </is>
      </c>
      <c r="B3" s="3" t="inlineStr">
        <is>
          <t>Muestra</t>
        </is>
      </c>
      <c r="C3" s="3" t="inlineStr">
        <is>
          <t>Factor escala</t>
        </is>
      </c>
      <c r="D3" s="3" t="inlineStr">
        <is>
          <t>Validacion piloto</t>
        </is>
      </c>
      <c r="E3" s="3" t="inlineStr">
        <is>
          <t>Cadena</t>
        </is>
      </c>
    </row>
    <row r="4">
      <c r="A4" s="4" t="inlineStr">
        <is>
          <t>Costo de orden</t>
        </is>
      </c>
      <c r="B4" t="n">
        <v>114513</v>
      </c>
      <c r="C4" s="4">
        <f>Supuestos!$B$5</f>
        <v/>
      </c>
      <c r="D4" s="4">
        <f>Supuestos!$B$9</f>
        <v/>
      </c>
      <c r="E4" s="4">
        <f>B4*C4*D4</f>
        <v/>
      </c>
    </row>
    <row r="5">
      <c r="A5" s="4" t="inlineStr">
        <is>
          <t>Costo de quiebre</t>
        </is>
      </c>
      <c r="B5" t="n">
        <v>39899.11</v>
      </c>
      <c r="C5" s="4">
        <f>Supuestos!$B$5</f>
        <v/>
      </c>
      <c r="D5" s="4">
        <f>Supuestos!$B$9</f>
        <v/>
      </c>
      <c r="E5" s="4">
        <f>B5*C5*D5</f>
        <v/>
      </c>
    </row>
    <row r="6">
      <c r="A6" s="4" t="inlineStr">
        <is>
          <t>Costo de merma</t>
        </is>
      </c>
      <c r="B6" t="n">
        <v>56561.27</v>
      </c>
      <c r="C6" s="4">
        <f>Supuestos!$B$5</f>
        <v/>
      </c>
      <c r="D6" s="4">
        <f>Supuestos!$B$9</f>
        <v/>
      </c>
      <c r="E6" s="4">
        <f>B6*C6*D6</f>
        <v/>
      </c>
    </row>
    <row r="7">
      <c r="A7" s="4" t="inlineStr">
        <is>
          <t>Costo de almacenamiento</t>
        </is>
      </c>
      <c r="B7" t="n">
        <v>-1538.34</v>
      </c>
      <c r="C7" s="4">
        <f>Supuestos!$B$5</f>
        <v/>
      </c>
      <c r="D7" s="4">
        <f>Supuestos!$B$9</f>
        <v/>
      </c>
      <c r="E7" s="4">
        <f>B7*C7*D7</f>
        <v/>
      </c>
    </row>
    <row r="8">
      <c r="A8" s="4" t="inlineStr">
        <is>
          <t>Total</t>
        </is>
      </c>
      <c r="E8" s="4">
        <f>SUM(E4:E7)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Flujos de caja - escenario conservador</t>
        </is>
      </c>
      <c r="B1" s="2" t="n"/>
      <c r="C1" s="2" t="n"/>
      <c r="D1" s="2" t="n"/>
      <c r="E1" s="2" t="n"/>
    </row>
    <row r="2">
      <c r="A2" s="4" t="inlineStr">
        <is>
          <t>Multiplicador de beneficios</t>
        </is>
      </c>
      <c r="B2" s="8">
        <f>Supuestos!$B$26</f>
        <v/>
      </c>
    </row>
    <row r="3">
      <c r="B3" s="3" t="inlineStr">
        <is>
          <t>Anio 0</t>
        </is>
      </c>
      <c r="C3" s="3" t="inlineStr">
        <is>
          <t>Anio 1</t>
        </is>
      </c>
      <c r="D3" s="3" t="inlineStr">
        <is>
          <t>Anio 2</t>
        </is>
      </c>
      <c r="E3" s="3" t="inlineStr">
        <is>
          <t>Anio 3</t>
        </is>
      </c>
    </row>
    <row r="4">
      <c r="A4" s="4" t="inlineStr">
        <is>
          <t>Beneficio</t>
        </is>
      </c>
      <c r="B4" s="11" t="n">
        <v>0</v>
      </c>
      <c r="C4" s="5">
        <f>Supuestos!$B$10*$B$2*Supuestos!$B$21</f>
        <v/>
      </c>
      <c r="D4" s="5">
        <f>Supuestos!$B$10*$B$2*Supuestos!$B$22</f>
        <v/>
      </c>
      <c r="E4" s="5">
        <f>Supuestos!$B$10*$B$2*Supuestos!$B$23</f>
        <v/>
      </c>
    </row>
    <row r="5">
      <c r="A5" s="4" t="inlineStr">
        <is>
          <t>Costo de operacion</t>
        </is>
      </c>
      <c r="B5" s="11" t="n">
        <v>0</v>
      </c>
      <c r="C5" s="5">
        <f>-Supuestos!$B$16</f>
        <v/>
      </c>
      <c r="D5" s="5">
        <f>-Supuestos!$B$16</f>
        <v/>
      </c>
      <c r="E5" s="5">
        <f>-Supuestos!$B$16</f>
        <v/>
      </c>
    </row>
    <row r="6">
      <c r="A6" s="4" t="inlineStr">
        <is>
          <t>Depreciacion</t>
        </is>
      </c>
      <c r="B6" s="11" t="n">
        <v>0</v>
      </c>
      <c r="C6" s="5">
        <f>-Supuestos!$B$20</f>
        <v/>
      </c>
      <c r="D6" s="5">
        <f>-Supuestos!$B$20</f>
        <v/>
      </c>
      <c r="E6" s="5">
        <f>-Supuestos!$B$20</f>
        <v/>
      </c>
    </row>
    <row r="7">
      <c r="A7" s="4" t="inlineStr">
        <is>
          <t>EBIT</t>
        </is>
      </c>
      <c r="B7" s="5">
        <f>SUM(B4:B6)</f>
        <v/>
      </c>
      <c r="C7" s="5">
        <f>SUM(C4:C6)</f>
        <v/>
      </c>
      <c r="D7" s="5">
        <f>SUM(D4:D6)</f>
        <v/>
      </c>
      <c r="E7" s="5">
        <f>SUM(E4:E6)</f>
        <v/>
      </c>
    </row>
    <row r="8">
      <c r="A8" s="4" t="inlineStr">
        <is>
          <t>Impuesto</t>
        </is>
      </c>
      <c r="B8" s="5">
        <f>-MAX(0,B7)*Supuestos!$B$17</f>
        <v/>
      </c>
      <c r="C8" s="5">
        <f>-MAX(0,C7)*Supuestos!$B$17</f>
        <v/>
      </c>
      <c r="D8" s="5">
        <f>-MAX(0,D7)*Supuestos!$B$17</f>
        <v/>
      </c>
      <c r="E8" s="5">
        <f>-MAX(0,E7)*Supuestos!$B$17</f>
        <v/>
      </c>
    </row>
    <row r="9">
      <c r="A9" s="4" t="inlineStr">
        <is>
          <t>Flujo operativo</t>
        </is>
      </c>
      <c r="B9" s="5">
        <f>B7+B8-B6</f>
        <v/>
      </c>
      <c r="C9" s="5">
        <f>C7+C8-C6</f>
        <v/>
      </c>
      <c r="D9" s="5">
        <f>D7+D8-D6</f>
        <v/>
      </c>
      <c r="E9" s="5">
        <f>E7+E8-E6</f>
        <v/>
      </c>
    </row>
    <row r="10">
      <c r="A10" s="4" t="inlineStr">
        <is>
          <t>Inversion inicial</t>
        </is>
      </c>
      <c r="B10" s="5">
        <f>-Supuestos!$B$13</f>
        <v/>
      </c>
      <c r="C10" s="11" t="n">
        <v>0</v>
      </c>
      <c r="D10" s="11" t="n">
        <v>0</v>
      </c>
      <c r="E10" s="11" t="n">
        <v>0</v>
      </c>
    </row>
    <row r="11">
      <c r="A11" s="4" t="inlineStr">
        <is>
          <t>Capital de trabajo</t>
        </is>
      </c>
      <c r="B11" s="5">
        <f>-Supuestos!$B$12</f>
        <v/>
      </c>
      <c r="C11" s="11" t="n">
        <v>0</v>
      </c>
      <c r="D11" s="11" t="n">
        <v>0</v>
      </c>
      <c r="E11" s="5">
        <f>Supuestos!$B$12</f>
        <v/>
      </c>
    </row>
    <row r="12">
      <c r="A12" s="4" t="inlineStr">
        <is>
          <t>Flujo neto</t>
        </is>
      </c>
      <c r="B12" s="5">
        <f>SUM(B9:B11)</f>
        <v/>
      </c>
      <c r="C12" s="5">
        <f>SUM(C9:C11)</f>
        <v/>
      </c>
      <c r="D12" s="5">
        <f>SUM(D9:D11)</f>
        <v/>
      </c>
      <c r="E12" s="5">
        <f>SUM(E9:E11)</f>
        <v/>
      </c>
    </row>
    <row r="13"/>
    <row r="14">
      <c r="A14" s="4" t="inlineStr">
        <is>
          <t>VAN</t>
        </is>
      </c>
      <c r="B14" s="5">
        <f>NPV(Supuestos!$B$18,C12:E12)+B12</f>
        <v/>
      </c>
    </row>
    <row r="15">
      <c r="A15" s="4" t="inlineStr">
        <is>
          <t>TIR</t>
        </is>
      </c>
      <c r="B15" s="7">
        <f>IRR(B12:E12)</f>
        <v/>
      </c>
    </row>
    <row r="16">
      <c r="A16" s="4" t="inlineStr">
        <is>
          <t>Payback (anios)</t>
        </is>
      </c>
      <c r="B16" s="8">
        <f>IF(B12&gt;=0,0,IF(C12&gt;=0,1-B12/C12,IF(D12&gt;=0,2-(B12+C12)/D12,IF(E12&gt;=0,3-(B12+C12+D12)/E12,"&gt;3"))))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Flujos de caja - escenario base</t>
        </is>
      </c>
      <c r="B1" s="2" t="n"/>
      <c r="C1" s="2" t="n"/>
      <c r="D1" s="2" t="n"/>
      <c r="E1" s="2" t="n"/>
    </row>
    <row r="2">
      <c r="A2" s="4" t="inlineStr">
        <is>
          <t>Multiplicador de beneficios</t>
        </is>
      </c>
      <c r="B2" s="8">
        <f>Supuestos!$B$27</f>
        <v/>
      </c>
    </row>
    <row r="3">
      <c r="B3" s="3" t="inlineStr">
        <is>
          <t>Anio 0</t>
        </is>
      </c>
      <c r="C3" s="3" t="inlineStr">
        <is>
          <t>Anio 1</t>
        </is>
      </c>
      <c r="D3" s="3" t="inlineStr">
        <is>
          <t>Anio 2</t>
        </is>
      </c>
      <c r="E3" s="3" t="inlineStr">
        <is>
          <t>Anio 3</t>
        </is>
      </c>
    </row>
    <row r="4">
      <c r="A4" s="4" t="inlineStr">
        <is>
          <t>Beneficio</t>
        </is>
      </c>
      <c r="B4" s="11" t="n">
        <v>0</v>
      </c>
      <c r="C4" s="5">
        <f>Supuestos!$B$10*$B$2*Supuestos!$B$21</f>
        <v/>
      </c>
      <c r="D4" s="5">
        <f>Supuestos!$B$10*$B$2*Supuestos!$B$22</f>
        <v/>
      </c>
      <c r="E4" s="5">
        <f>Supuestos!$B$10*$B$2*Supuestos!$B$23</f>
        <v/>
      </c>
    </row>
    <row r="5">
      <c r="A5" s="4" t="inlineStr">
        <is>
          <t>Costo de operacion</t>
        </is>
      </c>
      <c r="B5" s="11" t="n">
        <v>0</v>
      </c>
      <c r="C5" s="5">
        <f>-Supuestos!$B$16</f>
        <v/>
      </c>
      <c r="D5" s="5">
        <f>-Supuestos!$B$16</f>
        <v/>
      </c>
      <c r="E5" s="5">
        <f>-Supuestos!$B$16</f>
        <v/>
      </c>
    </row>
    <row r="6">
      <c r="A6" s="4" t="inlineStr">
        <is>
          <t>Depreciacion</t>
        </is>
      </c>
      <c r="B6" s="11" t="n">
        <v>0</v>
      </c>
      <c r="C6" s="5">
        <f>-Supuestos!$B$20</f>
        <v/>
      </c>
      <c r="D6" s="5">
        <f>-Supuestos!$B$20</f>
        <v/>
      </c>
      <c r="E6" s="5">
        <f>-Supuestos!$B$20</f>
        <v/>
      </c>
    </row>
    <row r="7">
      <c r="A7" s="4" t="inlineStr">
        <is>
          <t>EBIT</t>
        </is>
      </c>
      <c r="B7" s="5">
        <f>SUM(B4:B6)</f>
        <v/>
      </c>
      <c r="C7" s="5">
        <f>SUM(C4:C6)</f>
        <v/>
      </c>
      <c r="D7" s="5">
        <f>SUM(D4:D6)</f>
        <v/>
      </c>
      <c r="E7" s="5">
        <f>SUM(E4:E6)</f>
        <v/>
      </c>
    </row>
    <row r="8">
      <c r="A8" s="4" t="inlineStr">
        <is>
          <t>Impuesto</t>
        </is>
      </c>
      <c r="B8" s="5">
        <f>-MAX(0,B7)*Supuestos!$B$17</f>
        <v/>
      </c>
      <c r="C8" s="5">
        <f>-MAX(0,C7)*Supuestos!$B$17</f>
        <v/>
      </c>
      <c r="D8" s="5">
        <f>-MAX(0,D7)*Supuestos!$B$17</f>
        <v/>
      </c>
      <c r="E8" s="5">
        <f>-MAX(0,E7)*Supuestos!$B$17</f>
        <v/>
      </c>
    </row>
    <row r="9">
      <c r="A9" s="4" t="inlineStr">
        <is>
          <t>Flujo operativo</t>
        </is>
      </c>
      <c r="B9" s="5">
        <f>B7+B8-B6</f>
        <v/>
      </c>
      <c r="C9" s="5">
        <f>C7+C8-C6</f>
        <v/>
      </c>
      <c r="D9" s="5">
        <f>D7+D8-D6</f>
        <v/>
      </c>
      <c r="E9" s="5">
        <f>E7+E8-E6</f>
        <v/>
      </c>
    </row>
    <row r="10">
      <c r="A10" s="4" t="inlineStr">
        <is>
          <t>Inversion inicial</t>
        </is>
      </c>
      <c r="B10" s="5">
        <f>-Supuestos!$B$13</f>
        <v/>
      </c>
      <c r="C10" s="11" t="n">
        <v>0</v>
      </c>
      <c r="D10" s="11" t="n">
        <v>0</v>
      </c>
      <c r="E10" s="11" t="n">
        <v>0</v>
      </c>
    </row>
    <row r="11">
      <c r="A11" s="4" t="inlineStr">
        <is>
          <t>Capital de trabajo</t>
        </is>
      </c>
      <c r="B11" s="5">
        <f>-Supuestos!$B$12</f>
        <v/>
      </c>
      <c r="C11" s="11" t="n">
        <v>0</v>
      </c>
      <c r="D11" s="11" t="n">
        <v>0</v>
      </c>
      <c r="E11" s="5">
        <f>Supuestos!$B$12</f>
        <v/>
      </c>
    </row>
    <row r="12">
      <c r="A12" s="4" t="inlineStr">
        <is>
          <t>Flujo neto</t>
        </is>
      </c>
      <c r="B12" s="5">
        <f>SUM(B9:B11)</f>
        <v/>
      </c>
      <c r="C12" s="5">
        <f>SUM(C9:C11)</f>
        <v/>
      </c>
      <c r="D12" s="5">
        <f>SUM(D9:D11)</f>
        <v/>
      </c>
      <c r="E12" s="5">
        <f>SUM(E9:E11)</f>
        <v/>
      </c>
    </row>
    <row r="13"/>
    <row r="14">
      <c r="A14" s="4" t="inlineStr">
        <is>
          <t>VAN</t>
        </is>
      </c>
      <c r="B14" s="5">
        <f>NPV(Supuestos!$B$18,C12:E12)+B12</f>
        <v/>
      </c>
    </row>
    <row r="15">
      <c r="A15" s="4" t="inlineStr">
        <is>
          <t>TIR</t>
        </is>
      </c>
      <c r="B15" s="7">
        <f>IRR(B12:E12)</f>
        <v/>
      </c>
    </row>
    <row r="16">
      <c r="A16" s="4" t="inlineStr">
        <is>
          <t>Payback (anios)</t>
        </is>
      </c>
      <c r="B16" s="8">
        <f>IF(B12&gt;=0,0,IF(C12&gt;=0,1-B12/C12,IF(D12&gt;=0,2-(B12+C12)/D12,IF(E12&gt;=0,3-(B12+C12+D12)/E12,"&gt;3"))))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Flujos de caja - escenario optimista</t>
        </is>
      </c>
      <c r="B1" s="2" t="n"/>
      <c r="C1" s="2" t="n"/>
      <c r="D1" s="2" t="n"/>
      <c r="E1" s="2" t="n"/>
    </row>
    <row r="2">
      <c r="A2" s="4" t="inlineStr">
        <is>
          <t>Multiplicador de beneficios</t>
        </is>
      </c>
      <c r="B2" s="8">
        <f>Supuestos!$B$28</f>
        <v/>
      </c>
    </row>
    <row r="3">
      <c r="B3" s="3" t="inlineStr">
        <is>
          <t>Anio 0</t>
        </is>
      </c>
      <c r="C3" s="3" t="inlineStr">
        <is>
          <t>Anio 1</t>
        </is>
      </c>
      <c r="D3" s="3" t="inlineStr">
        <is>
          <t>Anio 2</t>
        </is>
      </c>
      <c r="E3" s="3" t="inlineStr">
        <is>
          <t>Anio 3</t>
        </is>
      </c>
    </row>
    <row r="4">
      <c r="A4" s="4" t="inlineStr">
        <is>
          <t>Beneficio</t>
        </is>
      </c>
      <c r="B4" s="11" t="n">
        <v>0</v>
      </c>
      <c r="C4" s="5">
        <f>Supuestos!$B$10*$B$2*Supuestos!$B$21</f>
        <v/>
      </c>
      <c r="D4" s="5">
        <f>Supuestos!$B$10*$B$2*Supuestos!$B$22</f>
        <v/>
      </c>
      <c r="E4" s="5">
        <f>Supuestos!$B$10*$B$2*Supuestos!$B$23</f>
        <v/>
      </c>
    </row>
    <row r="5">
      <c r="A5" s="4" t="inlineStr">
        <is>
          <t>Costo de operacion</t>
        </is>
      </c>
      <c r="B5" s="11" t="n">
        <v>0</v>
      </c>
      <c r="C5" s="5">
        <f>-Supuestos!$B$16</f>
        <v/>
      </c>
      <c r="D5" s="5">
        <f>-Supuestos!$B$16</f>
        <v/>
      </c>
      <c r="E5" s="5">
        <f>-Supuestos!$B$16</f>
        <v/>
      </c>
    </row>
    <row r="6">
      <c r="A6" s="4" t="inlineStr">
        <is>
          <t>Depreciacion</t>
        </is>
      </c>
      <c r="B6" s="11" t="n">
        <v>0</v>
      </c>
      <c r="C6" s="5">
        <f>-Supuestos!$B$20</f>
        <v/>
      </c>
      <c r="D6" s="5">
        <f>-Supuestos!$B$20</f>
        <v/>
      </c>
      <c r="E6" s="5">
        <f>-Supuestos!$B$20</f>
        <v/>
      </c>
    </row>
    <row r="7">
      <c r="A7" s="4" t="inlineStr">
        <is>
          <t>EBIT</t>
        </is>
      </c>
      <c r="B7" s="5">
        <f>SUM(B4:B6)</f>
        <v/>
      </c>
      <c r="C7" s="5">
        <f>SUM(C4:C6)</f>
        <v/>
      </c>
      <c r="D7" s="5">
        <f>SUM(D4:D6)</f>
        <v/>
      </c>
      <c r="E7" s="5">
        <f>SUM(E4:E6)</f>
        <v/>
      </c>
    </row>
    <row r="8">
      <c r="A8" s="4" t="inlineStr">
        <is>
          <t>Impuesto</t>
        </is>
      </c>
      <c r="B8" s="5">
        <f>-MAX(0,B7)*Supuestos!$B$17</f>
        <v/>
      </c>
      <c r="C8" s="5">
        <f>-MAX(0,C7)*Supuestos!$B$17</f>
        <v/>
      </c>
      <c r="D8" s="5">
        <f>-MAX(0,D7)*Supuestos!$B$17</f>
        <v/>
      </c>
      <c r="E8" s="5">
        <f>-MAX(0,E7)*Supuestos!$B$17</f>
        <v/>
      </c>
    </row>
    <row r="9">
      <c r="A9" s="4" t="inlineStr">
        <is>
          <t>Flujo operativo</t>
        </is>
      </c>
      <c r="B9" s="5">
        <f>B7+B8-B6</f>
        <v/>
      </c>
      <c r="C9" s="5">
        <f>C7+C8-C6</f>
        <v/>
      </c>
      <c r="D9" s="5">
        <f>D7+D8-D6</f>
        <v/>
      </c>
      <c r="E9" s="5">
        <f>E7+E8-E6</f>
        <v/>
      </c>
    </row>
    <row r="10">
      <c r="A10" s="4" t="inlineStr">
        <is>
          <t>Inversion inicial</t>
        </is>
      </c>
      <c r="B10" s="5">
        <f>-Supuestos!$B$13</f>
        <v/>
      </c>
      <c r="C10" s="11" t="n">
        <v>0</v>
      </c>
      <c r="D10" s="11" t="n">
        <v>0</v>
      </c>
      <c r="E10" s="11" t="n">
        <v>0</v>
      </c>
    </row>
    <row r="11">
      <c r="A11" s="4" t="inlineStr">
        <is>
          <t>Capital de trabajo</t>
        </is>
      </c>
      <c r="B11" s="5">
        <f>-Supuestos!$B$12</f>
        <v/>
      </c>
      <c r="C11" s="11" t="n">
        <v>0</v>
      </c>
      <c r="D11" s="11" t="n">
        <v>0</v>
      </c>
      <c r="E11" s="5">
        <f>Supuestos!$B$12</f>
        <v/>
      </c>
    </row>
    <row r="12">
      <c r="A12" s="4" t="inlineStr">
        <is>
          <t>Flujo neto</t>
        </is>
      </c>
      <c r="B12" s="5">
        <f>SUM(B9:B11)</f>
        <v/>
      </c>
      <c r="C12" s="5">
        <f>SUM(C9:C11)</f>
        <v/>
      </c>
      <c r="D12" s="5">
        <f>SUM(D9:D11)</f>
        <v/>
      </c>
      <c r="E12" s="5">
        <f>SUM(E9:E11)</f>
        <v/>
      </c>
    </row>
    <row r="13"/>
    <row r="14">
      <c r="A14" s="4" t="inlineStr">
        <is>
          <t>VAN</t>
        </is>
      </c>
      <c r="B14" s="5">
        <f>NPV(Supuestos!$B$18,C12:E12)+B12</f>
        <v/>
      </c>
    </row>
    <row r="15">
      <c r="A15" s="4" t="inlineStr">
        <is>
          <t>TIR</t>
        </is>
      </c>
      <c r="B15" s="7">
        <f>IRR(B12:E12)</f>
        <v/>
      </c>
    </row>
    <row r="16">
      <c r="A16" s="4" t="inlineStr">
        <is>
          <t>Payback (anios)</t>
        </is>
      </c>
      <c r="B16" s="8">
        <f>IF(B12&gt;=0,0,IF(C12&gt;=0,1-B12/C12,IF(D12&gt;=0,2-(B12+C12)/D12,IF(E12&gt;=0,3-(B12+C12+D12)/E12,"&gt;3"))))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2026-10-18T23:39:02Z</dcterms:created>
  <dcterms:modified xsi:type="dcterms:W3CDTF">2026-10-18T23:39:02Z</dcterms:modified>
</cp:coreProperties>
</file>